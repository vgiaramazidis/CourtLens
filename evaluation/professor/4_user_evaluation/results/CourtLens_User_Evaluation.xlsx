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66da1b995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014b65ebed4fe8"/>
    <x:sheet xmlns:r="http://schemas.openxmlformats.org/officeDocument/2006/relationships" name="Ratings" sheetId="2" r:id="R5206f0ea09874e15"/>
    <x:sheet xmlns:r="http://schemas.openxmlformats.org/officeDocument/2006/relationships" name="Tasks" sheetId="3" r:id="Rba7f2052f8314972"/>
    <x:sheet xmlns:r="http://schemas.openxmlformats.org/officeDocument/2006/relationships" name="Comments" sheetId="4" r:id="R05042cbe4a0d4085"/>
    <x:sheet xmlns:r="http://schemas.openxmlformats.org/officeDocument/2006/relationships" name="Themes" sheetId="5" r:id="R579a4a38e74a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.000"/>
    <x:numFmt numFmtId="203" formatCode="0%"/>
  </x:numFmts>
  <x:fonts count="6">
    <x:font>
      <x:sz val="11"/>
      <x:name val="Carlito"/>
    </x:font>
    <x:font>
      <x:sz val="11"/>
      <x:color rgb="FF202830"/>
      <x:name val="Arial"/>
    </x:font>
    <x:font>
      <x:b/>
      <x:sz val="16"/>
      <x:color rgb="FF202830"/>
      <x:name val="Arial"/>
    </x:font>
    <x:font>
      <x:sz val="10"/>
      <x:color rgb="FF526171"/>
      <x:name val="Arial"/>
    </x:font>
    <x:font>
      <x:b/>
      <x:sz val="11"/>
      <x:color rgb="FFFFFFFF"/>
      <x:name val="Arial"/>
    </x:font>
    <x:font>
      <x:b/>
      <x:sz val="11"/>
      <x:color rgb="FF2028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1F4F7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4a22c9f0c440e" /><Relationship Type="http://schemas.openxmlformats.org/officeDocument/2006/relationships/theme" Target="/xl/theme/theme1.xml" Id="R9bf014fda06a4634" /><Relationship Type="http://schemas.openxmlformats.org/officeDocument/2006/relationships/sharedStrings" Target="/xl/sharedStrings.xml" Id="R28a8256f54fb4de4" /><Relationship Type="http://schemas.openxmlformats.org/officeDocument/2006/relationships/worksheet" Target="/xl/worksheets/sheet1.xml" Id="R48014b65ebed4fe8" /><Relationship Type="http://schemas.openxmlformats.org/officeDocument/2006/relationships/worksheet" Target="/xl/worksheets/sheet2.xml" Id="R5206f0ea09874e15" /><Relationship Type="http://schemas.openxmlformats.org/officeDocument/2006/relationships/worksheet" Target="/xl/worksheets/sheet3.xml" Id="Rba7f2052f8314972" /><Relationship Type="http://schemas.openxmlformats.org/officeDocument/2006/relationships/worksheet" Target="/xl/worksheets/sheet4.xml" Id="R05042cbe4a0d4085" /><Relationship Type="http://schemas.openxmlformats.org/officeDocument/2006/relationships/worksheet" Target="/xl/worksheets/sheet5.xml" Id="R579a4a38e74a45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f505cd87c347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Mean rating by question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48647F"/>
            </a:solidFill>
          </c:spPr>
          <c:cat>
            <c:strRef>
              <c:f>'Ratings'!$A$38:$A$42</c:f>
              <c:strCache>
                <c:ptCount val="0"/>
              </c:strCache>
            </c:strRef>
          </c:cat>
          <c:val>
            <c:numRef>
              <c:f>'Summary'!$B$14:$B$18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f505cd87c3473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663352d51f4b4f" /></Relationships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CourtLens user evaluation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Ten participants completed the tasks independently. The session dates were not supplied.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Measure</x:v>
      </x:c>
      <x:c r="B5" s="8" t="str">
        <x:v>Result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9" t="str">
        <x:v>Participants</x:v>
      </x:c>
      <x:c r="B6" s="9" t="n">
        <x:f>COUNTA(Tasks!A6:A15)</x:f>
        <x:v>10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Task successes</x:v>
      </x:c>
      <x:c r="B7" s="2" t="n">
        <x:f>Tasks!K18</x:f>
        <x:v>90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9" t="str">
        <x:v>Recorded task outcomes</x:v>
      </x:c>
      <x:c r="B8" s="9" t="n">
        <x:f>Tasks!K19</x:f>
        <x:v>90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Task success rate</x:v>
      </x:c>
      <x:c r="B9" s="14" t="n">
        <x:f>Tasks!L20</x:f>
        <x:v>1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9" t="str">
        <x:v>Mean across 50 ratings</x:v>
      </x:c>
      <x:c r="B10" s="11" t="n">
        <x:f>AVERAGE(Ratings!B6:F15)</x:f>
        <x:v>4.56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32" customHeight="1">
      <x:c r="A13" s="8" t="str">
        <x:v>Question</x:v>
      </x:c>
      <x:c r="B13" s="8" t="str">
        <x:v>Mean / 5</x:v>
      </x:c>
      <x:c r="C13" s="8" t="str">
        <x:v>Median</x:v>
      </x:c>
      <x:c r="D13" s="8" t="str">
        <x:v>Sample SD</x:v>
      </x:c>
      <x:c r="E13" s="8" t="str">
        <x:v>Rated 4 or 5</x:v>
      </x:c>
      <x:c r="F13" s="8" t="str">
        <x:v>Valid N</x:v>
      </x:c>
      <x:c r="G13" s="2"/>
      <x:c r="H13" s="2"/>
      <x:c r="I13" s="2"/>
      <x:c r="J13" s="2"/>
      <x:c r="K13" s="2"/>
      <x:c r="L13" s="2"/>
    </x:row>
    <x:row r="14" ht="35" customHeight="1">
      <x:c r="A14" s="18" t="str">
        <x:v>Q1 Information finding</x:v>
      </x:c>
      <x:c r="B14" s="11" t="n">
        <x:f>Ratings!B20</x:f>
        <x:v>4.3</x:v>
      </x:c>
      <x:c r="C14" s="11" t="n">
        <x:f>Ratings!B21</x:f>
        <x:v>4.5</x:v>
      </x:c>
      <x:c r="D14" s="15" t="n">
        <x:f>Ratings!B22</x:f>
        <x:v>0.8232726023485646</x:v>
      </x:c>
      <x:c r="E14" s="24" t="n">
        <x:f>Ratings!B26</x:f>
        <x:v>0.8</x:v>
      </x:c>
      <x:c r="F14" s="9" t="n">
        <x:f>Ratings!B19</x:f>
        <x:v>10</x:v>
      </x:c>
      <x:c r="G14" s="2"/>
      <x:c r="H14" s="2"/>
      <x:c r="I14" s="2"/>
      <x:c r="J14" s="2"/>
      <x:c r="K14" s="2"/>
      <x:c r="L14" s="2"/>
    </x:row>
    <x:row r="15" ht="35" customHeight="1">
      <x:c r="A15" s="17" t="str">
        <x:v>Q2 3D court usability</x:v>
      </x:c>
      <x:c r="B15" s="12" t="n">
        <x:f>Ratings!C20</x:f>
        <x:v>4.2</x:v>
      </x:c>
      <x:c r="C15" s="12" t="n">
        <x:f>Ratings!C21</x:f>
        <x:v>5</x:v>
      </x:c>
      <x:c r="D15" s="23" t="n">
        <x:f>Ratings!C22</x:f>
        <x:v>1.3984117975602024</x:v>
      </x:c>
      <x:c r="E15" s="25" t="n">
        <x:f>Ratings!C26</x:f>
        <x:v>0.7</x:v>
      </x:c>
      <x:c r="F15" s="2" t="n">
        <x:f>Ratings!C19</x:f>
        <x:v>10</x:v>
      </x:c>
      <x:c r="G15" s="2"/>
      <x:c r="H15" s="2"/>
      <x:c r="I15" s="2"/>
      <x:c r="J15" s="2"/>
      <x:c r="K15" s="2"/>
      <x:c r="L15" s="2"/>
    </x:row>
    <x:row r="16" ht="35" customHeight="1">
      <x:c r="A16" s="18" t="str">
        <x:v>Q3 AI usefulness and speed</x:v>
      </x:c>
      <x:c r="B16" s="11" t="n">
        <x:f>Ratings!D20</x:f>
        <x:v>4.4</x:v>
      </x:c>
      <x:c r="C16" s="11" t="n">
        <x:f>Ratings!D21</x:f>
        <x:v>5</x:v>
      </x:c>
      <x:c r="D16" s="15" t="n">
        <x:f>Ratings!D22</x:f>
        <x:v>1.0749676997731399</x:v>
      </x:c>
      <x:c r="E16" s="24" t="n">
        <x:f>Ratings!D26</x:f>
        <x:v>0.8</x:v>
      </x:c>
      <x:c r="F16" s="9" t="n">
        <x:f>Ratings!D19</x:f>
        <x:v>10</x:v>
      </x:c>
      <x:c r="G16" s="2"/>
      <x:c r="H16" s="2"/>
      <x:c r="I16" s="2"/>
      <x:c r="J16" s="2"/>
      <x:c r="K16" s="2"/>
      <x:c r="L16" s="2"/>
    </x:row>
    <x:row r="17" ht="35" customHeight="1">
      <x:c r="A17" s="17" t="str">
        <x:v>Q4 Understanding the games</x:v>
      </x:c>
      <x:c r="B17" s="12" t="n">
        <x:f>Ratings!E20</x:f>
        <x:v>5</x:v>
      </x:c>
      <x:c r="C17" s="12" t="n">
        <x:f>Ratings!E21</x:f>
        <x:v>5</x:v>
      </x:c>
      <x:c r="D17" s="23" t="n">
        <x:f>Ratings!E22</x:f>
        <x:v>0</x:v>
      </x:c>
      <x:c r="E17" s="25" t="n">
        <x:f>Ratings!E26</x:f>
        <x:v>1</x:v>
      </x:c>
      <x:c r="F17" s="2" t="n">
        <x:f>Ratings!E19</x:f>
        <x:v>10</x:v>
      </x:c>
      <x:c r="G17" s="2"/>
      <x:c r="H17" s="2"/>
      <x:c r="I17" s="2"/>
      <x:c r="J17" s="2"/>
      <x:c r="K17" s="2"/>
      <x:c r="L17" s="2"/>
    </x:row>
    <x:row r="18" ht="35" customHeight="1">
      <x:c r="A18" s="18" t="str">
        <x:v>Q5 Overall enjoyment</x:v>
      </x:c>
      <x:c r="B18" s="11" t="n">
        <x:f>Ratings!F20</x:f>
        <x:v>4.9</x:v>
      </x:c>
      <x:c r="C18" s="11" t="n">
        <x:f>Ratings!F21</x:f>
        <x:v>5</x:v>
      </x:c>
      <x:c r="D18" s="15" t="n">
        <x:f>Ratings!F22</x:f>
        <x:v>0.3162277660168379</x:v>
      </x:c>
      <x:c r="E18" s="24" t="n">
        <x:f>Ratings!F26</x:f>
        <x:v>1</x:v>
      </x:c>
      <x:c r="F18" s="9" t="n">
        <x:f>Ratings!F19</x:f>
        <x:v>10</x:v>
      </x:c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16" t="str">
        <x:v>Interpretation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4" t="str">
        <x:v>All nine tasks were recorded as successful for all ten participants.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4" t="str">
        <x:v>Q2 shows the widest spread. Court navigation and AI Search remain improvement priorities.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4" t="str">
        <x:v>The pooled mean describes these five items. It is not a validated usability or SUS score.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4" t="str">
        <x:v>No baseline-condition data, task timings or participant demographics were supplied.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4" t="str">
        <x:v>The study contains nine tasks and five rating questions completed by ten participants.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4" t="str">
        <x:v>Yellow cells contain source observations. Summary values recalculate from those cells.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4" t="str">
        <x:v>This workbook contains the participant records and English definitions used by both CourtLens reports.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pageMargins left="0.7" right="0.7" top="0.75" bottom="0.75" header="0.3" footer="0.3"/>
  <x:drawing xmlns:r="http://schemas.openxmlformats.org/officeDocument/2006/relationships" r:id="Rd4663352d51f4b4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3" customHeight="1">
      <x:c r="A2" s="3" t="str">
        <x:v>User ratings and descriptive statistics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Inputs are recorded scores from 1 to 5. Calculated percentages equal the mean divided by 5.</x:v>
      </x:c>
      <x:c r="B3" s="2"/>
      <x:c r="C3" s="2"/>
      <x:c r="D3" s="2"/>
      <x:c r="E3" s="2"/>
      <x:c r="F3" s="2"/>
      <x:c r="G3" s="2"/>
      <x:c r="H3" s="2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Participant</x:v>
      </x:c>
      <x:c r="B5" s="8" t="str">
        <x:v>Q1</x:v>
      </x:c>
      <x:c r="C5" s="8" t="str">
        <x:v>Q2</x:v>
      </x:c>
      <x:c r="D5" s="8" t="str">
        <x:v>Q3</x:v>
      </x:c>
      <x:c r="E5" s="8" t="str">
        <x:v>Q4</x:v>
      </x:c>
      <x:c r="F5" s="8" t="str">
        <x:v>Q5</x:v>
      </x:c>
      <x:c r="G5" s="8" t="str">
        <x:v>Mean</x:v>
      </x:c>
      <x:c r="H5" s="8" t="str">
        <x:v>Mean / 5</x:v>
      </x:c>
    </x:row>
    <x:row r="6" ht="23" customHeight="1">
      <x:c r="A6" s="9" t="str">
        <x:v>User 1</x:v>
      </x:c>
      <x:c r="B6" s="10" t="n">
        <x:v>5</x:v>
      </x:c>
      <x:c r="C6" s="10" t="n">
        <x:v>5</x:v>
      </x:c>
      <x:c r="D6" s="10" t="n">
        <x:v>5</x:v>
      </x:c>
      <x:c r="E6" s="10" t="n">
        <x:v>5</x:v>
      </x:c>
      <x:c r="F6" s="10" t="n">
        <x:v>5</x:v>
      </x:c>
      <x:c r="G6" s="11" t="n">
        <x:f>IF(COUNT(B6:F6)=5,AVERAGE(B6:F6),"n.a.")</x:f>
        <x:v>5</x:v>
      </x:c>
      <x:c r="H6" s="13" t="n">
        <x:f>IF(ISNUMBER(G6),G6/5,"n.a.")</x:f>
        <x:v>1</x:v>
      </x:c>
    </x:row>
    <x:row r="7" ht="23" customHeight="1">
      <x:c r="A7" s="2" t="str">
        <x:v>User 2</x:v>
      </x:c>
      <x:c r="B7" s="10" t="n">
        <x:v>5</x:v>
      </x:c>
      <x:c r="C7" s="10" t="n">
        <x:v>1</x:v>
      </x:c>
      <x:c r="D7" s="10" t="n">
        <x:v>5</x:v>
      </x:c>
      <x:c r="E7" s="10" t="n">
        <x:v>5</x:v>
      </x:c>
      <x:c r="F7" s="10" t="n">
        <x:v>5</x:v>
      </x:c>
      <x:c r="G7" s="12" t="n">
        <x:f>IF(COUNT(B7:F7)=5,AVERAGE(B7:F7),"n.a.")</x:f>
        <x:v>4.2</x:v>
      </x:c>
      <x:c r="H7" s="14" t="n">
        <x:f>IF(ISNUMBER(G7),G7/5,"n.a.")</x:f>
        <x:v>0.8400000000000001</x:v>
      </x:c>
    </x:row>
    <x:row r="8" ht="23" customHeight="1">
      <x:c r="A8" s="9" t="str">
        <x:v>User 3</x:v>
      </x:c>
      <x:c r="B8" s="10" t="n">
        <x:v>5</x:v>
      </x:c>
      <x:c r="C8" s="10" t="n">
        <x:v>5</x:v>
      </x:c>
      <x:c r="D8" s="10" t="n">
        <x:v>5</x:v>
      </x:c>
      <x:c r="E8" s="10" t="n">
        <x:v>5</x:v>
      </x:c>
      <x:c r="F8" s="10" t="n">
        <x:v>5</x:v>
      </x:c>
      <x:c r="G8" s="11" t="n">
        <x:f>IF(COUNT(B8:F8)=5,AVERAGE(B8:F8),"n.a.")</x:f>
        <x:v>5</x:v>
      </x:c>
      <x:c r="H8" s="13" t="n">
        <x:f>IF(ISNUMBER(G8),G8/5,"n.a.")</x:f>
        <x:v>1</x:v>
      </x:c>
    </x:row>
    <x:row r="9" ht="23" customHeight="1">
      <x:c r="A9" s="2" t="str">
        <x:v>User 4</x:v>
      </x:c>
      <x:c r="B9" s="10" t="n">
        <x:v>3</x:v>
      </x:c>
      <x:c r="C9" s="10" t="n">
        <x:v>5</x:v>
      </x:c>
      <x:c r="D9" s="10" t="n">
        <x:v>5</x:v>
      </x:c>
      <x:c r="E9" s="10" t="n">
        <x:v>5</x:v>
      </x:c>
      <x:c r="F9" s="10" t="n">
        <x:v>5</x:v>
      </x:c>
      <x:c r="G9" s="12" t="n">
        <x:f>IF(COUNT(B9:F9)=5,AVERAGE(B9:F9),"n.a.")</x:f>
        <x:v>4.6</x:v>
      </x:c>
      <x:c r="H9" s="14" t="n">
        <x:f>IF(ISNUMBER(G9),G9/5,"n.a.")</x:f>
        <x:v>0.9199999999999999</x:v>
      </x:c>
    </x:row>
    <x:row r="10" ht="23" customHeight="1">
      <x:c r="A10" s="9" t="str">
        <x:v>User 5</x:v>
      </x:c>
      <x:c r="B10" s="10" t="n">
        <x:v>5</x:v>
      </x:c>
      <x:c r="C10" s="10" t="n">
        <x:v>3</x:v>
      </x:c>
      <x:c r="D10" s="10" t="n">
        <x:v>3</x:v>
      </x:c>
      <x:c r="E10" s="10" t="n">
        <x:v>5</x:v>
      </x:c>
      <x:c r="F10" s="10" t="n">
        <x:v>5</x:v>
      </x:c>
      <x:c r="G10" s="11" t="n">
        <x:f>IF(COUNT(B10:F10)=5,AVERAGE(B10:F10),"n.a.")</x:f>
        <x:v>4.2</x:v>
      </x:c>
      <x:c r="H10" s="13" t="n">
        <x:f>IF(ISNUMBER(G10),G10/5,"n.a.")</x:f>
        <x:v>0.8400000000000001</x:v>
      </x:c>
    </x:row>
    <x:row r="11" ht="23" customHeight="1">
      <x:c r="A11" s="2" t="str">
        <x:v>User 6</x:v>
      </x:c>
      <x:c r="B11" s="10" t="n">
        <x:v>3</x:v>
      </x:c>
      <x:c r="C11" s="10" t="n">
        <x:v>3</x:v>
      </x:c>
      <x:c r="D11" s="10" t="n">
        <x:v>2</x:v>
      </x:c>
      <x:c r="E11" s="10" t="n">
        <x:v>5</x:v>
      </x:c>
      <x:c r="F11" s="10" t="n">
        <x:v>4</x:v>
      </x:c>
      <x:c r="G11" s="12" t="n">
        <x:f>IF(COUNT(B11:F11)=5,AVERAGE(B11:F11),"n.a.")</x:f>
        <x:v>3.4</x:v>
      </x:c>
      <x:c r="H11" s="14" t="n">
        <x:f>IF(ISNUMBER(G11),G11/5,"n.a.")</x:f>
        <x:v>0.6799999999999999</x:v>
      </x:c>
    </x:row>
    <x:row r="12" ht="23" customHeight="1">
      <x:c r="A12" s="9" t="str">
        <x:v>User 7</x:v>
      </x:c>
      <x:c r="B12" s="10" t="n">
        <x:v>4</x:v>
      </x:c>
      <x:c r="C12" s="10" t="n">
        <x:v>5</x:v>
      </x:c>
      <x:c r="D12" s="10" t="n">
        <x:v>5</x:v>
      </x:c>
      <x:c r="E12" s="10" t="n">
        <x:v>5</x:v>
      </x:c>
      <x:c r="F12" s="10" t="n">
        <x:v>5</x:v>
      </x:c>
      <x:c r="G12" s="11" t="n">
        <x:f>IF(COUNT(B12:F12)=5,AVERAGE(B12:F12),"n.a.")</x:f>
        <x:v>4.8</x:v>
      </x:c>
      <x:c r="H12" s="13" t="n">
        <x:f>IF(ISNUMBER(G12),G12/5,"n.a.")</x:f>
        <x:v>0.96</x:v>
      </x:c>
    </x:row>
    <x:row r="13" ht="23" customHeight="1">
      <x:c r="A13" s="2" t="str">
        <x:v>User 8</x:v>
      </x:c>
      <x:c r="B13" s="10" t="n">
        <x:v>5</x:v>
      </x:c>
      <x:c r="C13" s="10" t="n">
        <x:v>5</x:v>
      </x:c>
      <x:c r="D13" s="10" t="n">
        <x:v>5</x:v>
      </x:c>
      <x:c r="E13" s="10" t="n">
        <x:v>5</x:v>
      </x:c>
      <x:c r="F13" s="10" t="n">
        <x:v>5</x:v>
      </x:c>
      <x:c r="G13" s="12" t="n">
        <x:f>IF(COUNT(B13:F13)=5,AVERAGE(B13:F13),"n.a.")</x:f>
        <x:v>5</x:v>
      </x:c>
      <x:c r="H13" s="14" t="n">
        <x:f>IF(ISNUMBER(G13),G13/5,"n.a.")</x:f>
        <x:v>1</x:v>
      </x:c>
    </x:row>
    <x:row r="14" ht="23" customHeight="1">
      <x:c r="A14" s="9" t="str">
        <x:v>User 9</x:v>
      </x:c>
      <x:c r="B14" s="10" t="n">
        <x:v>4</x:v>
      </x:c>
      <x:c r="C14" s="10" t="n">
        <x:v>5</x:v>
      </x:c>
      <x:c r="D14" s="10" t="n">
        <x:v>4</x:v>
      </x:c>
      <x:c r="E14" s="10" t="n">
        <x:v>5</x:v>
      </x:c>
      <x:c r="F14" s="10" t="n">
        <x:v>5</x:v>
      </x:c>
      <x:c r="G14" s="11" t="n">
        <x:f>IF(COUNT(B14:F14)=5,AVERAGE(B14:F14),"n.a.")</x:f>
        <x:v>4.6</x:v>
      </x:c>
      <x:c r="H14" s="13" t="n">
        <x:f>IF(ISNUMBER(G14),G14/5,"n.a.")</x:f>
        <x:v>0.9199999999999999</x:v>
      </x:c>
    </x:row>
    <x:row r="15" ht="23" customHeight="1">
      <x:c r="A15" s="2" t="str">
        <x:v>User 10</x:v>
      </x:c>
      <x:c r="B15" s="10" t="n">
        <x:v>4</x:v>
      </x:c>
      <x:c r="C15" s="10" t="n">
        <x:v>5</x:v>
      </x:c>
      <x:c r="D15" s="10" t="n">
        <x:v>5</x:v>
      </x:c>
      <x:c r="E15" s="10" t="n">
        <x:v>5</x:v>
      </x:c>
      <x:c r="F15" s="10" t="n">
        <x:v>5</x:v>
      </x:c>
      <x:c r="G15" s="12" t="n">
        <x:f>IF(COUNT(B15:F15)=5,AVERAGE(B15:F15),"n.a.")</x:f>
        <x:v>4.8</x:v>
      </x:c>
      <x:c r="H15" s="14" t="n">
        <x:f>IF(ISNUMBER(G15),G15/5,"n.a.")</x:f>
        <x:v>0.96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32" customHeight="1">
      <x:c r="A18" s="8" t="str">
        <x:v>Statistic</x:v>
      </x:c>
      <x:c r="B18" s="8" t="str">
        <x:v>Q1</x:v>
      </x:c>
      <x:c r="C18" s="8" t="str">
        <x:v>Q2</x:v>
      </x:c>
      <x:c r="D18" s="8" t="str">
        <x:v>Q3</x:v>
      </x:c>
      <x:c r="E18" s="8" t="str">
        <x:v>Q4</x:v>
      </x:c>
      <x:c r="F18" s="8" t="str">
        <x:v>Q5</x:v>
      </x:c>
      <x:c r="G18" s="2"/>
      <x:c r="H18" s="2"/>
    </x:row>
    <x:row r="19" ht="23" customHeight="1">
      <x:c r="A19" s="2" t="str">
        <x:v>Valid N</x:v>
      </x:c>
      <x:c r="B19" s="2" t="n">
        <x:f>COUNT(B6:B15)</x:f>
        <x:v>10</x:v>
      </x:c>
      <x:c r="C19" s="2" t="n">
        <x:f>COUNT(C6:C15)</x:f>
        <x:v>10</x:v>
      </x:c>
      <x:c r="D19" s="2" t="n">
        <x:f>COUNT(D6:D15)</x:f>
        <x:v>10</x:v>
      </x:c>
      <x:c r="E19" s="2" t="n">
        <x:f>COUNT(E6:E15)</x:f>
        <x:v>10</x:v>
      </x:c>
      <x:c r="F19" s="2" t="n">
        <x:f>COUNT(F6:F15)</x:f>
        <x:v>10</x:v>
      </x:c>
      <x:c r="G19" s="2"/>
      <x:c r="H19" s="2"/>
    </x:row>
    <x:row r="20" ht="23" customHeight="1">
      <x:c r="A20" s="9" t="str">
        <x:v>Mean</x:v>
      </x:c>
      <x:c r="B20" s="11" t="n">
        <x:f>IF(B19=0,"n.a.",AVERAGE(B6:B15))</x:f>
        <x:v>4.3</x:v>
      </x:c>
      <x:c r="C20" s="11" t="n">
        <x:f>IF(C19=0,"n.a.",AVERAGE(C6:C15))</x:f>
        <x:v>4.2</x:v>
      </x:c>
      <x:c r="D20" s="11" t="n">
        <x:f>IF(D19=0,"n.a.",AVERAGE(D6:D15))</x:f>
        <x:v>4.4</x:v>
      </x:c>
      <x:c r="E20" s="11" t="n">
        <x:f>IF(E19=0,"n.a.",AVERAGE(E6:E15))</x:f>
        <x:v>5</x:v>
      </x:c>
      <x:c r="F20" s="11" t="n">
        <x:f>IF(F19=0,"n.a.",AVERAGE(F6:F15))</x:f>
        <x:v>4.9</x:v>
      </x:c>
      <x:c r="G20" s="2"/>
      <x:c r="H20" s="2"/>
    </x:row>
    <x:row r="21" ht="23" customHeight="1">
      <x:c r="A21" s="2" t="str">
        <x:v>Median</x:v>
      </x:c>
      <x:c r="B21" s="12" t="n">
        <x:f>IF(B19=0,"n.a.",MEDIAN(B6:B15))</x:f>
        <x:v>4.5</x:v>
      </x:c>
      <x:c r="C21" s="12" t="n">
        <x:f>IF(C19=0,"n.a.",MEDIAN(C6:C15))</x:f>
        <x:v>5</x:v>
      </x:c>
      <x:c r="D21" s="12" t="n">
        <x:f>IF(D19=0,"n.a.",MEDIAN(D6:D15))</x:f>
        <x:v>5</x:v>
      </x:c>
      <x:c r="E21" s="12" t="n">
        <x:f>IF(E19=0,"n.a.",MEDIAN(E6:E15))</x:f>
        <x:v>5</x:v>
      </x:c>
      <x:c r="F21" s="12" t="n">
        <x:f>IF(F19=0,"n.a.",MEDIAN(F6:F15))</x:f>
        <x:v>5</x:v>
      </x:c>
      <x:c r="G21" s="2"/>
      <x:c r="H21" s="2"/>
    </x:row>
    <x:row r="22" ht="23" customHeight="1">
      <x:c r="A22" s="9" t="str">
        <x:v>Sample standard deviation</x:v>
      </x:c>
      <x:c r="B22" s="15" t="n">
        <x:f>IF(B19&lt;2,"n.a.",STDEV(B6:B15))</x:f>
        <x:v>0.8232726023485646</x:v>
      </x:c>
      <x:c r="C22" s="15" t="n">
        <x:f>IF(C19&lt;2,"n.a.",STDEV(C6:C15))</x:f>
        <x:v>1.3984117975602024</x:v>
      </x:c>
      <x:c r="D22" s="15" t="n">
        <x:f>IF(D19&lt;2,"n.a.",STDEV(D6:D15))</x:f>
        <x:v>1.0749676997731399</x:v>
      </x:c>
      <x:c r="E22" s="15" t="n">
        <x:f>IF(E19&lt;2,"n.a.",STDEV(E6:E15))</x:f>
        <x:v>0</x:v>
      </x:c>
      <x:c r="F22" s="15" t="n">
        <x:f>IF(F19&lt;2,"n.a.",STDEV(F6:F15))</x:f>
        <x:v>0.3162277660168379</x:v>
      </x:c>
      <x:c r="G22" s="2"/>
      <x:c r="H22" s="2"/>
    </x:row>
    <x:row r="23" ht="23" customHeight="1">
      <x:c r="A23" s="2" t="str">
        <x:v>Minimum</x:v>
      </x:c>
      <x:c r="B23" s="2" t="n">
        <x:f>IF(B19=0,"n.a.",MIN(B6:B15))</x:f>
        <x:v>3</x:v>
      </x:c>
      <x:c r="C23" s="2" t="n">
        <x:f>IF(C19=0,"n.a.",MIN(C6:C15))</x:f>
        <x:v>1</x:v>
      </x:c>
      <x:c r="D23" s="2" t="n">
        <x:f>IF(D19=0,"n.a.",MIN(D6:D15))</x:f>
        <x:v>2</x:v>
      </x:c>
      <x:c r="E23" s="2" t="n">
        <x:f>IF(E19=0,"n.a.",MIN(E6:E15))</x:f>
        <x:v>5</x:v>
      </x:c>
      <x:c r="F23" s="2" t="n">
        <x:f>IF(F19=0,"n.a.",MIN(F6:F15))</x:f>
        <x:v>4</x:v>
      </x:c>
      <x:c r="G23" s="2"/>
      <x:c r="H23" s="2"/>
    </x:row>
    <x:row r="24" ht="23" customHeight="1">
      <x:c r="A24" s="9" t="str">
        <x:v>Maximum</x:v>
      </x:c>
      <x:c r="B24" s="9" t="n">
        <x:f>IF(B19=0,"n.a.",MAX(B6:B15))</x:f>
        <x:v>5</x:v>
      </x:c>
      <x:c r="C24" s="9" t="n">
        <x:f>IF(C19=0,"n.a.",MAX(C6:C15))</x:f>
        <x:v>5</x:v>
      </x:c>
      <x:c r="D24" s="9" t="n">
        <x:f>IF(D19=0,"n.a.",MAX(D6:D15))</x:f>
        <x:v>5</x:v>
      </x:c>
      <x:c r="E24" s="9" t="n">
        <x:f>IF(E19=0,"n.a.",MAX(E6:E15))</x:f>
        <x:v>5</x:v>
      </x:c>
      <x:c r="F24" s="9" t="n">
        <x:f>IF(F19=0,"n.a.",MAX(F6:F15))</x:f>
        <x:v>5</x:v>
      </x:c>
      <x:c r="G24" s="2"/>
      <x:c r="H24" s="2"/>
    </x:row>
    <x:row r="25" ht="23" customHeight="1">
      <x:c r="A25" s="2" t="str">
        <x:v>Ratings 4 or 5</x:v>
      </x:c>
      <x:c r="B25" s="2" t="n">
        <x:f>COUNTIFS(B6:B15,"&gt;=4",B6:B15,"&lt;=5")</x:f>
        <x:v>8</x:v>
      </x:c>
      <x:c r="C25" s="2" t="n">
        <x:f>COUNTIFS(C6:C15,"&gt;=4",C6:C15,"&lt;=5")</x:f>
        <x:v>7</x:v>
      </x:c>
      <x:c r="D25" s="2" t="n">
        <x:f>COUNTIFS(D6:D15,"&gt;=4",D6:D15,"&lt;=5")</x:f>
        <x:v>8</x:v>
      </x:c>
      <x:c r="E25" s="2" t="n">
        <x:f>COUNTIFS(E6:E15,"&gt;=4",E6:E15,"&lt;=5")</x:f>
        <x:v>10</x:v>
      </x:c>
      <x:c r="F25" s="2" t="n">
        <x:f>COUNTIFS(F6:F15,"&gt;=4",F6:F15,"&lt;=5")</x:f>
        <x:v>10</x:v>
      </x:c>
      <x:c r="G25" s="2"/>
      <x:c r="H25" s="2"/>
    </x:row>
    <x:row r="26" ht="23" customHeight="1">
      <x:c r="A26" s="9" t="str">
        <x:v>Share rated 4 or 5</x:v>
      </x:c>
      <x:c r="B26" s="13" t="n">
        <x:f>IF(B19=0,"n.a.",B25/B19)</x:f>
        <x:v>0.8</x:v>
      </x:c>
      <x:c r="C26" s="13" t="n">
        <x:f>IF(C19=0,"n.a.",C25/C19)</x:f>
        <x:v>0.7</x:v>
      </x:c>
      <x:c r="D26" s="13" t="n">
        <x:f>IF(D19=0,"n.a.",D25/D19)</x:f>
        <x:v>0.8</x:v>
      </x:c>
      <x:c r="E26" s="13" t="n">
        <x:f>IF(E19=0,"n.a.",E25/E19)</x:f>
        <x:v>1</x:v>
      </x:c>
      <x:c r="F26" s="13" t="n">
        <x:f>IF(F19=0,"n.a.",F25/F19)</x:f>
        <x:v>1</x:v>
      </x:c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32" customHeight="1">
      <x:c r="A29" s="8" t="str">
        <x:v>Rating frequency</x:v>
      </x:c>
      <x:c r="B29" s="8" t="str">
        <x:v>Q1</x:v>
      </x:c>
      <x:c r="C29" s="8" t="str">
        <x:v>Q2</x:v>
      </x:c>
      <x:c r="D29" s="8" t="str">
        <x:v>Q3</x:v>
      </x:c>
      <x:c r="E29" s="8" t="str">
        <x:v>Q4</x:v>
      </x:c>
      <x:c r="F29" s="8" t="str">
        <x:v>Q5</x:v>
      </x:c>
      <x:c r="G29" s="2"/>
      <x:c r="H29" s="2"/>
    </x:row>
    <x:row r="30" ht="23" customHeight="1">
      <x:c r="A30" s="9" t="n">
        <x:v>1</x:v>
      </x:c>
      <x:c r="B30" s="9" t="n">
        <x:f>COUNTIFS(B$6:B$15,$A30)</x:f>
        <x:v>0</x:v>
      </x:c>
      <x:c r="C30" s="9" t="n">
        <x:f>COUNTIFS(C$6:C$15,$A30)</x:f>
        <x:v>1</x:v>
      </x:c>
      <x:c r="D30" s="9" t="n">
        <x:f>COUNTIFS(D$6:D$15,$A30)</x:f>
        <x:v>0</x:v>
      </x:c>
      <x:c r="E30" s="9" t="n">
        <x:f>COUNTIFS(E$6:E$15,$A30)</x:f>
        <x:v>0</x:v>
      </x:c>
      <x:c r="F30" s="9" t="n">
        <x:f>COUNTIFS(F$6:F$15,$A30)</x:f>
        <x:v>0</x:v>
      </x:c>
      <x:c r="G30" s="2"/>
      <x:c r="H30" s="2"/>
    </x:row>
    <x:row r="31" ht="23" customHeight="1">
      <x:c r="A31" s="2" t="n">
        <x:v>2</x:v>
      </x:c>
      <x:c r="B31" s="2" t="n">
        <x:f>COUNTIFS(B$6:B$15,$A31)</x:f>
        <x:v>0</x:v>
      </x:c>
      <x:c r="C31" s="2" t="n">
        <x:f>COUNTIFS(C$6:C$15,$A31)</x:f>
        <x:v>0</x:v>
      </x:c>
      <x:c r="D31" s="2" t="n">
        <x:f>COUNTIFS(D$6:D$15,$A31)</x:f>
        <x:v>1</x:v>
      </x:c>
      <x:c r="E31" s="2" t="n">
        <x:f>COUNTIFS(E$6:E$15,$A31)</x:f>
        <x:v>0</x:v>
      </x:c>
      <x:c r="F31" s="2" t="n">
        <x:f>COUNTIFS(F$6:F$15,$A31)</x:f>
        <x:v>0</x:v>
      </x:c>
      <x:c r="G31" s="2"/>
      <x:c r="H31" s="2"/>
    </x:row>
    <x:row r="32" ht="23" customHeight="1">
      <x:c r="A32" s="9" t="n">
        <x:v>3</x:v>
      </x:c>
      <x:c r="B32" s="9" t="n">
        <x:f>COUNTIFS(B$6:B$15,$A32)</x:f>
        <x:v>2</x:v>
      </x:c>
      <x:c r="C32" s="9" t="n">
        <x:f>COUNTIFS(C$6:C$15,$A32)</x:f>
        <x:v>2</x:v>
      </x:c>
      <x:c r="D32" s="9" t="n">
        <x:f>COUNTIFS(D$6:D$15,$A32)</x:f>
        <x:v>1</x:v>
      </x:c>
      <x:c r="E32" s="9" t="n">
        <x:f>COUNTIFS(E$6:E$15,$A32)</x:f>
        <x:v>0</x:v>
      </x:c>
      <x:c r="F32" s="9" t="n">
        <x:f>COUNTIFS(F$6:F$15,$A32)</x:f>
        <x:v>0</x:v>
      </x:c>
      <x:c r="G32" s="2"/>
      <x:c r="H32" s="2"/>
    </x:row>
    <x:row r="33" ht="23" customHeight="1">
      <x:c r="A33" s="2" t="n">
        <x:v>4</x:v>
      </x:c>
      <x:c r="B33" s="2" t="n">
        <x:f>COUNTIFS(B$6:B$15,$A33)</x:f>
        <x:v>3</x:v>
      </x:c>
      <x:c r="C33" s="2" t="n">
        <x:f>COUNTIFS(C$6:C$15,$A33)</x:f>
        <x:v>0</x:v>
      </x:c>
      <x:c r="D33" s="2" t="n">
        <x:f>COUNTIFS(D$6:D$15,$A33)</x:f>
        <x:v>1</x:v>
      </x:c>
      <x:c r="E33" s="2" t="n">
        <x:f>COUNTIFS(E$6:E$15,$A33)</x:f>
        <x:v>0</x:v>
      </x:c>
      <x:c r="F33" s="2" t="n">
        <x:f>COUNTIFS(F$6:F$15,$A33)</x:f>
        <x:v>1</x:v>
      </x:c>
      <x:c r="G33" s="2"/>
      <x:c r="H33" s="2"/>
    </x:row>
    <x:row r="34" ht="23" customHeight="1">
      <x:c r="A34" s="9" t="n">
        <x:v>5</x:v>
      </x:c>
      <x:c r="B34" s="9" t="n">
        <x:f>COUNTIFS(B$6:B$15,$A34)</x:f>
        <x:v>5</x:v>
      </x:c>
      <x:c r="C34" s="9" t="n">
        <x:f>COUNTIFS(C$6:C$15,$A34)</x:f>
        <x:v>7</x:v>
      </x:c>
      <x:c r="D34" s="9" t="n">
        <x:f>COUNTIFS(D$6:D$15,$A34)</x:f>
        <x:v>7</x:v>
      </x:c>
      <x:c r="E34" s="9" t="n">
        <x:f>COUNTIFS(E$6:E$15,$A34)</x:f>
        <x:v>10</x:v>
      </x:c>
      <x:c r="F34" s="9" t="n">
        <x:f>COUNTIFS(F$6:F$15,$A34)</x:f>
        <x:v>9</x:v>
      </x:c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16" t="str">
        <x:v>Question wording</x:v>
      </x:c>
      <x:c r="B37" s="2"/>
      <x:c r="C37" s="2"/>
      <x:c r="D37" s="2"/>
      <x:c r="E37" s="2"/>
      <x:c r="F37" s="2"/>
      <x:c r="G37" s="2"/>
      <x:c r="H37" s="2"/>
    </x:row>
    <x:row r="38" ht="23" customHeight="1">
      <x:c r="A38" s="2" t="str">
        <x:v>Q1</x:v>
      </x:c>
      <x:c r="B38" s="2" t="str">
        <x:v>How easy was it to find the information requested by the tasks?</x:v>
      </x:c>
      <x:c r="C38" s="2"/>
      <x:c r="D38" s="2"/>
      <x:c r="E38" s="2"/>
      <x:c r="F38" s="2"/>
      <x:c r="G38" s="2"/>
      <x:c r="H38" s="2"/>
    </x:row>
    <x:row r="39" ht="23" customHeight="1">
      <x:c r="A39" s="2" t="str">
        <x:v>Q2</x:v>
      </x:c>
      <x:c r="B39" s="2" t="str">
        <x:v>How clear and easy to use was the 3D court representation?</x:v>
      </x:c>
      <x:c r="C39" s="2"/>
      <x:c r="D39" s="2"/>
      <x:c r="E39" s="2"/>
      <x:c r="F39" s="2"/>
      <x:c r="G39" s="2"/>
      <x:c r="H39" s="2"/>
    </x:row>
    <x:row r="40" ht="23" customHeight="1">
      <x:c r="A40" s="2" t="str">
        <x:v>Q3</x:v>
      </x:c>
      <x:c r="B40" s="2" t="str">
        <x:v>How useful and fast did you find AI Search?</x:v>
      </x:c>
      <x:c r="C40" s="2"/>
      <x:c r="D40" s="2"/>
      <x:c r="E40" s="2"/>
      <x:c r="F40" s="2"/>
      <x:c r="G40" s="2"/>
      <x:c r="H40" s="2"/>
    </x:row>
    <x:row r="41" ht="23" customHeight="1">
      <x:c r="A41" s="2" t="str">
        <x:v>Q4</x:v>
      </x:c>
      <x:c r="B41" s="2" t="str">
        <x:v>How easy was it to understand how to play Coach Simulator and Quiz Ball?</x:v>
      </x:c>
      <x:c r="C41" s="2"/>
      <x:c r="D41" s="2"/>
      <x:c r="E41" s="2"/>
      <x:c r="F41" s="2"/>
      <x:c r="G41" s="2"/>
      <x:c r="H41" s="2"/>
    </x:row>
    <x:row r="42" ht="23" customHeight="1">
      <x:c r="A42" s="2" t="str">
        <x:v>Q5</x:v>
      </x:c>
      <x:c r="B42" s="2" t="str">
        <x:v>Overall, how enjoyable was your experience using the application?</x:v>
      </x:c>
      <x:c r="C42" s="2"/>
      <x:c r="D42" s="2"/>
      <x:c r="E42" s="2"/>
      <x:c r="F42" s="2"/>
      <x:c r="G42" s="2"/>
      <x:c r="H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3" customHeight="1">
      <x:c r="A44" s="4" t="str">
        <x:v>Scale: 1 = Not at all / Very poor, 5 = Very much / Excellent.</x:v>
      </x:c>
      <x:c r="B44" s="2"/>
      <x:c r="C44" s="2"/>
      <x:c r="D44" s="2"/>
      <x:c r="E44" s="2"/>
      <x:c r="F44" s="2"/>
      <x:c r="G44" s="2"/>
      <x:c r="H44" s="2"/>
    </x:row>
    <x:row r="45" ht="23" customHeight="1">
      <x:c r="A45" s="4" t="str">
        <x:v>Mean / 5 is a rescaled rating, not the percentage of satisfied participants or a SUS score.</x:v>
      </x:c>
      <x:c r="B45" s="2"/>
      <x:c r="C45" s="2"/>
      <x:c r="D45" s="2"/>
      <x:c r="E45" s="2"/>
      <x:c r="F45" s="2"/>
      <x:c r="G45" s="2"/>
      <x:c r="H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</x:row>
    <x:row r="47" ht="23" customHeight="1">
      <x:c r="A47" s="4" t="str">
        <x:v>Participant rating records, ten respondents.</x:v>
      </x:c>
      <x:c r="B47" s="2"/>
      <x:c r="C47" s="2"/>
      <x:c r="D47" s="2"/>
      <x:c r="E47" s="2"/>
      <x:c r="F47" s="2"/>
      <x:c r="G47" s="2"/>
      <x:c r="H47" s="2"/>
    </x:row>
    <x:row r="48" ht="23" customHeight="1">
      <x:c r="A48" s="4" t="str">
        <x:v>Study questionnaire definitions.</x:v>
      </x:c>
      <x:c r="B48" s="2"/>
      <x:c r="C48" s="2"/>
      <x:c r="D48" s="2"/>
      <x:c r="E48" s="2"/>
      <x:c r="F48" s="2"/>
      <x:c r="G48" s="2"/>
      <x:c r="H48" s="2"/>
    </x:row>
  </x:sheetData>
  <x:dataValidations count="1">
    <x:dataValidation type="whole" operator="between" sqref="B6:F15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5" hidden="0" customWidth="1"/>
    <x:col min="12" max="12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Task completion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1 = recorded success, 0 = recorded non-success. Columns follow the nine task definitions in order.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Participant</x:v>
      </x:c>
      <x:c r="B5" s="8" t="str">
        <x:v>T1</x:v>
      </x:c>
      <x:c r="C5" s="8" t="str">
        <x:v>T2</x:v>
      </x:c>
      <x:c r="D5" s="8" t="str">
        <x:v>T3</x:v>
      </x:c>
      <x:c r="E5" s="8" t="str">
        <x:v>T4</x:v>
      </x:c>
      <x:c r="F5" s="8" t="str">
        <x:v>T5</x:v>
      </x:c>
      <x:c r="G5" s="8" t="str">
        <x:v>T6</x:v>
      </x:c>
      <x:c r="H5" s="8" t="str">
        <x:v>T7</x:v>
      </x:c>
      <x:c r="I5" s="8" t="str">
        <x:v>T8</x:v>
      </x:c>
      <x:c r="J5" s="8" t="str">
        <x:v>T9</x:v>
      </x:c>
      <x:c r="K5" s="8" t="str">
        <x:v>Successes</x:v>
      </x:c>
      <x:c r="L5" s="8" t="str">
        <x:v>Success rate</x:v>
      </x:c>
    </x:row>
    <x:row r="6" ht="23" customHeight="1">
      <x:c r="A6" s="9" t="str">
        <x:v>User 1</x:v>
      </x:c>
      <x:c r="B6" s="10" t="n">
        <x:v>1</x:v>
      </x:c>
      <x:c r="C6" s="10" t="n">
        <x:v>1</x:v>
      </x:c>
      <x:c r="D6" s="10" t="n">
        <x:v>1</x:v>
      </x:c>
      <x:c r="E6" s="10" t="n">
        <x:v>1</x:v>
      </x:c>
      <x:c r="F6" s="10" t="n">
        <x:v>1</x:v>
      </x:c>
      <x:c r="G6" s="10" t="n">
        <x:v>1</x:v>
      </x:c>
      <x:c r="H6" s="10" t="n">
        <x:v>1</x:v>
      </x:c>
      <x:c r="I6" s="10" t="n">
        <x:v>1</x:v>
      </x:c>
      <x:c r="J6" s="10" t="n">
        <x:v>1</x:v>
      </x:c>
      <x:c r="K6" s="9" t="n">
        <x:f>SUM(B6:J6)</x:f>
        <x:v>9</x:v>
      </x:c>
      <x:c r="L6" s="13" t="n">
        <x:f>IF(COUNT(B6:J6)=9,K6/9,"n.a.")</x:f>
        <x:v>1</x:v>
      </x:c>
    </x:row>
    <x:row r="7" ht="23" customHeight="1">
      <x:c r="A7" s="2" t="str">
        <x:v>User 2</x:v>
      </x:c>
      <x:c r="B7" s="10" t="n">
        <x:v>1</x:v>
      </x:c>
      <x:c r="C7" s="10" t="n">
        <x:v>1</x:v>
      </x:c>
      <x:c r="D7" s="10" t="n">
        <x:v>1</x:v>
      </x:c>
      <x:c r="E7" s="10" t="n">
        <x:v>1</x:v>
      </x:c>
      <x:c r="F7" s="10" t="n">
        <x:v>1</x:v>
      </x:c>
      <x:c r="G7" s="10" t="n">
        <x:v>1</x:v>
      </x:c>
      <x:c r="H7" s="10" t="n">
        <x:v>1</x:v>
      </x:c>
      <x:c r="I7" s="10" t="n">
        <x:v>1</x:v>
      </x:c>
      <x:c r="J7" s="10" t="n">
        <x:v>1</x:v>
      </x:c>
      <x:c r="K7" s="2" t="n">
        <x:f>SUM(B7:J7)</x:f>
        <x:v>9</x:v>
      </x:c>
      <x:c r="L7" s="14" t="n">
        <x:f>IF(COUNT(B7:J7)=9,K7/9,"n.a.")</x:f>
        <x:v>1</x:v>
      </x:c>
    </x:row>
    <x:row r="8" ht="23" customHeight="1">
      <x:c r="A8" s="9" t="str">
        <x:v>User 3</x:v>
      </x:c>
      <x:c r="B8" s="10" t="n">
        <x:v>1</x:v>
      </x:c>
      <x:c r="C8" s="10" t="n">
        <x:v>1</x:v>
      </x:c>
      <x:c r="D8" s="10" t="n">
        <x:v>1</x:v>
      </x:c>
      <x:c r="E8" s="10" t="n">
        <x:v>1</x:v>
      </x:c>
      <x:c r="F8" s="10" t="n">
        <x:v>1</x:v>
      </x:c>
      <x:c r="G8" s="10" t="n">
        <x:v>1</x:v>
      </x:c>
      <x:c r="H8" s="10" t="n">
        <x:v>1</x:v>
      </x:c>
      <x:c r="I8" s="10" t="n">
        <x:v>1</x:v>
      </x:c>
      <x:c r="J8" s="10" t="n">
        <x:v>1</x:v>
      </x:c>
      <x:c r="K8" s="9" t="n">
        <x:f>SUM(B8:J8)</x:f>
        <x:v>9</x:v>
      </x:c>
      <x:c r="L8" s="13" t="n">
        <x:f>IF(COUNT(B8:J8)=9,K8/9,"n.a.")</x:f>
        <x:v>1</x:v>
      </x:c>
    </x:row>
    <x:row r="9" ht="23" customHeight="1">
      <x:c r="A9" s="2" t="str">
        <x:v>User 4</x:v>
      </x:c>
      <x:c r="B9" s="10" t="n">
        <x:v>1</x:v>
      </x:c>
      <x:c r="C9" s="10" t="n">
        <x:v>1</x:v>
      </x:c>
      <x:c r="D9" s="10" t="n">
        <x:v>1</x:v>
      </x:c>
      <x:c r="E9" s="10" t="n">
        <x:v>1</x:v>
      </x:c>
      <x:c r="F9" s="10" t="n">
        <x:v>1</x:v>
      </x:c>
      <x:c r="G9" s="10" t="n">
        <x:v>1</x:v>
      </x:c>
      <x:c r="H9" s="10" t="n">
        <x:v>1</x:v>
      </x:c>
      <x:c r="I9" s="10" t="n">
        <x:v>1</x:v>
      </x:c>
      <x:c r="J9" s="10" t="n">
        <x:v>1</x:v>
      </x:c>
      <x:c r="K9" s="2" t="n">
        <x:f>SUM(B9:J9)</x:f>
        <x:v>9</x:v>
      </x:c>
      <x:c r="L9" s="14" t="n">
        <x:f>IF(COUNT(B9:J9)=9,K9/9,"n.a.")</x:f>
        <x:v>1</x:v>
      </x:c>
    </x:row>
    <x:row r="10" ht="23" customHeight="1">
      <x:c r="A10" s="9" t="str">
        <x:v>User 5</x:v>
      </x:c>
      <x:c r="B10" s="10" t="n">
        <x:v>1</x:v>
      </x:c>
      <x:c r="C10" s="10" t="n">
        <x:v>1</x:v>
      </x:c>
      <x:c r="D10" s="10" t="n">
        <x:v>1</x:v>
      </x:c>
      <x:c r="E10" s="10" t="n">
        <x:v>1</x:v>
      </x:c>
      <x:c r="F10" s="10" t="n">
        <x:v>1</x:v>
      </x:c>
      <x:c r="G10" s="10" t="n">
        <x:v>1</x:v>
      </x:c>
      <x:c r="H10" s="10" t="n">
        <x:v>1</x:v>
      </x:c>
      <x:c r="I10" s="10" t="n">
        <x:v>1</x:v>
      </x:c>
      <x:c r="J10" s="10" t="n">
        <x:v>1</x:v>
      </x:c>
      <x:c r="K10" s="9" t="n">
        <x:f>SUM(B10:J10)</x:f>
        <x:v>9</x:v>
      </x:c>
      <x:c r="L10" s="13" t="n">
        <x:f>IF(COUNT(B10:J10)=9,K10/9,"n.a.")</x:f>
        <x:v>1</x:v>
      </x:c>
    </x:row>
    <x:row r="11" ht="23" customHeight="1">
      <x:c r="A11" s="2" t="str">
        <x:v>User 6</x:v>
      </x:c>
      <x:c r="B11" s="10" t="n">
        <x:v>1</x:v>
      </x:c>
      <x:c r="C11" s="10" t="n">
        <x:v>1</x:v>
      </x:c>
      <x:c r="D11" s="10" t="n">
        <x:v>1</x:v>
      </x:c>
      <x:c r="E11" s="10" t="n">
        <x:v>1</x:v>
      </x:c>
      <x:c r="F11" s="10" t="n">
        <x:v>1</x:v>
      </x:c>
      <x:c r="G11" s="10" t="n">
        <x:v>1</x:v>
      </x:c>
      <x:c r="H11" s="10" t="n">
        <x:v>1</x:v>
      </x:c>
      <x:c r="I11" s="10" t="n">
        <x:v>1</x:v>
      </x:c>
      <x:c r="J11" s="10" t="n">
        <x:v>1</x:v>
      </x:c>
      <x:c r="K11" s="2" t="n">
        <x:f>SUM(B11:J11)</x:f>
        <x:v>9</x:v>
      </x:c>
      <x:c r="L11" s="14" t="n">
        <x:f>IF(COUNT(B11:J11)=9,K11/9,"n.a.")</x:f>
        <x:v>1</x:v>
      </x:c>
    </x:row>
    <x:row r="12" ht="23" customHeight="1">
      <x:c r="A12" s="9" t="str">
        <x:v>User 7</x:v>
      </x:c>
      <x:c r="B12" s="10" t="n">
        <x:v>1</x:v>
      </x:c>
      <x:c r="C12" s="10" t="n">
        <x:v>1</x:v>
      </x:c>
      <x:c r="D12" s="10" t="n">
        <x:v>1</x:v>
      </x:c>
      <x:c r="E12" s="10" t="n">
        <x:v>1</x:v>
      </x:c>
      <x:c r="F12" s="10" t="n">
        <x:v>1</x:v>
      </x:c>
      <x:c r="G12" s="10" t="n">
        <x:v>1</x:v>
      </x:c>
      <x:c r="H12" s="10" t="n">
        <x:v>1</x:v>
      </x:c>
      <x:c r="I12" s="10" t="n">
        <x:v>1</x:v>
      </x:c>
      <x:c r="J12" s="10" t="n">
        <x:v>1</x:v>
      </x:c>
      <x:c r="K12" s="9" t="n">
        <x:f>SUM(B12:J12)</x:f>
        <x:v>9</x:v>
      </x:c>
      <x:c r="L12" s="13" t="n">
        <x:f>IF(COUNT(B12:J12)=9,K12/9,"n.a.")</x:f>
        <x:v>1</x:v>
      </x:c>
    </x:row>
    <x:row r="13" ht="23" customHeight="1">
      <x:c r="A13" s="2" t="str">
        <x:v>User 8</x:v>
      </x:c>
      <x:c r="B13" s="10" t="n">
        <x:v>1</x:v>
      </x:c>
      <x:c r="C13" s="10" t="n">
        <x:v>1</x:v>
      </x:c>
      <x:c r="D13" s="10" t="n">
        <x:v>1</x:v>
      </x:c>
      <x:c r="E13" s="10" t="n">
        <x:v>1</x:v>
      </x:c>
      <x:c r="F13" s="10" t="n">
        <x:v>1</x:v>
      </x:c>
      <x:c r="G13" s="10" t="n">
        <x:v>1</x:v>
      </x:c>
      <x:c r="H13" s="10" t="n">
        <x:v>1</x:v>
      </x:c>
      <x:c r="I13" s="10" t="n">
        <x:v>1</x:v>
      </x:c>
      <x:c r="J13" s="10" t="n">
        <x:v>1</x:v>
      </x:c>
      <x:c r="K13" s="2" t="n">
        <x:f>SUM(B13:J13)</x:f>
        <x:v>9</x:v>
      </x:c>
      <x:c r="L13" s="14" t="n">
        <x:f>IF(COUNT(B13:J13)=9,K13/9,"n.a.")</x:f>
        <x:v>1</x:v>
      </x:c>
    </x:row>
    <x:row r="14" ht="23" customHeight="1">
      <x:c r="A14" s="9" t="str">
        <x:v>User 9</x:v>
      </x:c>
      <x:c r="B14" s="10" t="n">
        <x:v>1</x:v>
      </x:c>
      <x:c r="C14" s="10" t="n">
        <x:v>1</x:v>
      </x:c>
      <x:c r="D14" s="10" t="n">
        <x:v>1</x:v>
      </x:c>
      <x:c r="E14" s="10" t="n">
        <x:v>1</x:v>
      </x:c>
      <x:c r="F14" s="10" t="n">
        <x:v>1</x:v>
      </x:c>
      <x:c r="G14" s="10" t="n">
        <x:v>1</x:v>
      </x:c>
      <x:c r="H14" s="10" t="n">
        <x:v>1</x:v>
      </x:c>
      <x:c r="I14" s="10" t="n">
        <x:v>1</x:v>
      </x:c>
      <x:c r="J14" s="10" t="n">
        <x:v>1</x:v>
      </x:c>
      <x:c r="K14" s="9" t="n">
        <x:f>SUM(B14:J14)</x:f>
        <x:v>9</x:v>
      </x:c>
      <x:c r="L14" s="13" t="n">
        <x:f>IF(COUNT(B14:J14)=9,K14/9,"n.a.")</x:f>
        <x:v>1</x:v>
      </x:c>
    </x:row>
    <x:row r="15" ht="23" customHeight="1">
      <x:c r="A15" s="2" t="str">
        <x:v>User 10</x:v>
      </x:c>
      <x:c r="B15" s="10" t="n">
        <x:v>1</x:v>
      </x:c>
      <x:c r="C15" s="10" t="n">
        <x:v>1</x:v>
      </x:c>
      <x:c r="D15" s="10" t="n">
        <x:v>1</x:v>
      </x:c>
      <x:c r="E15" s="10" t="n">
        <x:v>1</x:v>
      </x:c>
      <x:c r="F15" s="10" t="n">
        <x:v>1</x:v>
      </x:c>
      <x:c r="G15" s="10" t="n">
        <x:v>1</x:v>
      </x:c>
      <x:c r="H15" s="10" t="n">
        <x:v>1</x:v>
      </x:c>
      <x:c r="I15" s="10" t="n">
        <x:v>1</x:v>
      </x:c>
      <x:c r="J15" s="10" t="n">
        <x:v>1</x:v>
      </x:c>
      <x:c r="K15" s="2" t="n">
        <x:f>SUM(B15:J15)</x:f>
        <x:v>9</x:v>
      </x:c>
      <x:c r="L15" s="14" t="n">
        <x:f>IF(COUNT(B15:J15)=9,K15/9,"n.a.")</x:f>
        <x:v>1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Recorded successes</x:v>
      </x:c>
      <x:c r="B18" s="2" t="n">
        <x:f>SUM(B6:B15)</x:f>
        <x:v>10</x:v>
      </x:c>
      <x:c r="C18" s="2" t="n">
        <x:f>SUM(C6:C15)</x:f>
        <x:v>10</x:v>
      </x:c>
      <x:c r="D18" s="2" t="n">
        <x:f>SUM(D6:D15)</x:f>
        <x:v>10</x:v>
      </x:c>
      <x:c r="E18" s="2" t="n">
        <x:f>SUM(E6:E15)</x:f>
        <x:v>10</x:v>
      </x:c>
      <x:c r="F18" s="2" t="n">
        <x:f>SUM(F6:F15)</x:f>
        <x:v>10</x:v>
      </x:c>
      <x:c r="G18" s="2" t="n">
        <x:f>SUM(G6:G15)</x:f>
        <x:v>10</x:v>
      </x:c>
      <x:c r="H18" s="2" t="n">
        <x:f>SUM(H6:H15)</x:f>
        <x:v>10</x:v>
      </x:c>
      <x:c r="I18" s="2" t="n">
        <x:f>SUM(I6:I15)</x:f>
        <x:v>10</x:v>
      </x:c>
      <x:c r="J18" s="2" t="n">
        <x:f>SUM(J6:J15)</x:f>
        <x:v>10</x:v>
      </x:c>
      <x:c r="K18" s="2" t="n">
        <x:f>SUM(B18:J18)</x:f>
        <x:v>90</x:v>
      </x:c>
      <x:c r="L18" s="2"/>
    </x:row>
    <x:row r="19" ht="23" customHeight="1">
      <x:c r="A19" s="2" t="str">
        <x:v>Recorded outcomes</x:v>
      </x:c>
      <x:c r="B19" s="2" t="n">
        <x:f>COUNT(B6:B15)</x:f>
        <x:v>10</x:v>
      </x:c>
      <x:c r="C19" s="2" t="n">
        <x:f>COUNT(C6:C15)</x:f>
        <x:v>10</x:v>
      </x:c>
      <x:c r="D19" s="2" t="n">
        <x:f>COUNT(D6:D15)</x:f>
        <x:v>10</x:v>
      </x:c>
      <x:c r="E19" s="2" t="n">
        <x:f>COUNT(E6:E15)</x:f>
        <x:v>10</x:v>
      </x:c>
      <x:c r="F19" s="2" t="n">
        <x:f>COUNT(F6:F15)</x:f>
        <x:v>10</x:v>
      </x:c>
      <x:c r="G19" s="2" t="n">
        <x:f>COUNT(G6:G15)</x:f>
        <x:v>10</x:v>
      </x:c>
      <x:c r="H19" s="2" t="n">
        <x:f>COUNT(H6:H15)</x:f>
        <x:v>10</x:v>
      </x:c>
      <x:c r="I19" s="2" t="n">
        <x:f>COUNT(I6:I15)</x:f>
        <x:v>10</x:v>
      </x:c>
      <x:c r="J19" s="2" t="n">
        <x:f>COUNT(J6:J15)</x:f>
        <x:v>10</x:v>
      </x:c>
      <x:c r="K19" s="2" t="n">
        <x:f>SUM(B19:J19)</x:f>
        <x:v>90</x:v>
      </x:c>
      <x:c r="L19" s="2"/>
    </x:row>
    <x:row r="20" ht="23" customHeight="1">
      <x:c r="A20" s="2" t="str">
        <x:v>Success rate</x:v>
      </x:c>
      <x:c r="B20" s="14" t="n">
        <x:f>IF(B19=0,"n.a.",B18/B19)</x:f>
        <x:v>1</x:v>
      </x:c>
      <x:c r="C20" s="14" t="n">
        <x:f>IF(C19=0,"n.a.",C18/C19)</x:f>
        <x:v>1</x:v>
      </x:c>
      <x:c r="D20" s="14" t="n">
        <x:f>IF(D19=0,"n.a.",D18/D19)</x:f>
        <x:v>1</x:v>
      </x:c>
      <x:c r="E20" s="14" t="n">
        <x:f>IF(E19=0,"n.a.",E18/E19)</x:f>
        <x:v>1</x:v>
      </x:c>
      <x:c r="F20" s="14" t="n">
        <x:f>IF(F19=0,"n.a.",F18/F19)</x:f>
        <x:v>1</x:v>
      </x:c>
      <x:c r="G20" s="14" t="n">
        <x:f>IF(G19=0,"n.a.",G18/G19)</x:f>
        <x:v>1</x:v>
      </x:c>
      <x:c r="H20" s="14" t="n">
        <x:f>IF(H19=0,"n.a.",H18/H19)</x:f>
        <x:v>1</x:v>
      </x:c>
      <x:c r="I20" s="14" t="n">
        <x:f>IF(I19=0,"n.a.",I18/I19)</x:f>
        <x:v>1</x:v>
      </x:c>
      <x:c r="J20" s="14" t="n">
        <x:f>IF(J19=0,"n.a.",J18/J19)</x:f>
        <x:v>1</x:v>
      </x:c>
      <x:c r="K20" s="14"/>
      <x:c r="L20" s="14" t="n">
        <x:f>IF(K19=0,"n.a.",K18/K19)</x:f>
        <x:v>1</x:v>
      </x:c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16" t="str">
        <x:v>Task definitions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7" customHeight="1">
      <x:c r="A24" s="17" t="str">
        <x:v>T1 AI Search</x:v>
      </x:c>
      <x:c r="B24" s="17"/>
      <x:c r="C24" s="17"/>
      <x:c r="D24" s="2" t="str">
        <x:v>Ask an English question to find the player with the most three-pointers or points.</x:v>
      </x:c>
      <x:c r="E24" s="2"/>
      <x:c r="F24" s="2"/>
      <x:c r="G24" s="2"/>
      <x:c r="H24" s="2"/>
      <x:c r="I24" s="2"/>
      <x:c r="J24" s="2"/>
      <x:c r="K24" s="2"/>
      <x:c r="L24" s="2"/>
    </x:row>
    <x:row r="25" ht="37" customHeight="1">
      <x:c r="A25" s="17" t="str">
        <x:v>T2 Structured browsing</x:v>
      </x:c>
      <x:c r="B25" s="17"/>
      <x:c r="C25" s="17"/>
      <x:c r="D25" s="2" t="str">
        <x:v>Use analysis filters, without AI, to find a home or away team’s shot locations in the fourth quarter.</x:v>
      </x:c>
      <x:c r="E25" s="2"/>
      <x:c r="F25" s="2"/>
      <x:c r="G25" s="2"/>
      <x:c r="H25" s="2"/>
      <x:c r="I25" s="2"/>
      <x:c r="J25" s="2"/>
      <x:c r="K25" s="2"/>
      <x:c r="L25" s="2"/>
    </x:row>
    <x:row r="26" ht="37" customHeight="1">
      <x:c r="A26" s="17" t="str">
        <x:v>T3 3D court interaction</x:v>
      </x:c>
      <x:c r="B26" s="17"/>
      <x:c r="C26" s="17"/>
      <x:c r="D26" s="2" t="str">
        <x:v>Filter to missed shots, zoom and rotate the court.</x:v>
      </x:c>
      <x:c r="E26" s="2"/>
      <x:c r="F26" s="2"/>
      <x:c r="G26" s="2"/>
      <x:c r="H26" s="2"/>
      <x:c r="I26" s="2"/>
      <x:c r="J26" s="2"/>
      <x:c r="K26" s="2"/>
      <x:c r="L26" s="2"/>
    </x:row>
    <x:row r="27" ht="37" customHeight="1">
      <x:c r="A27" s="17" t="str">
        <x:v>T4 Play-by-Play and video</x:v>
      </x:c>
      <x:c r="B27" s="17"/>
      <x:c r="C27" s="17"/>
      <x:c r="D27" s="2" t="str">
        <x:v>Find an action such as an assist and use Details or Watch to view the moment.</x:v>
      </x:c>
      <x:c r="E27" s="2"/>
      <x:c r="F27" s="2"/>
      <x:c r="G27" s="2"/>
      <x:c r="H27" s="2"/>
      <x:c r="I27" s="2"/>
      <x:c r="J27" s="2"/>
      <x:c r="K27" s="2"/>
      <x:c r="L27" s="2"/>
    </x:row>
    <x:row r="28" ht="37" customHeight="1">
      <x:c r="A28" s="17" t="str">
        <x:v>T5 Export</x:v>
      </x:c>
      <x:c r="B28" s="17"/>
      <x:c r="C28" s="17"/>
      <x:c r="D28" s="2" t="str">
        <x:v>Export a results table as CSV.</x:v>
      </x:c>
      <x:c r="E28" s="2"/>
      <x:c r="F28" s="2"/>
      <x:c r="G28" s="2"/>
      <x:c r="H28" s="2"/>
      <x:c r="I28" s="2"/>
      <x:c r="J28" s="2"/>
      <x:c r="K28" s="2"/>
      <x:c r="L28" s="2"/>
    </x:row>
    <x:row r="29" ht="37" customHeight="1">
      <x:c r="A29" s="17" t="str">
        <x:v>T6 Start Coach Challenge</x:v>
      </x:c>
      <x:c r="B29" s="17"/>
      <x:c r="C29" s="17"/>
      <x:c r="D29" s="2" t="str">
        <x:v>Open Games, select Coach Challenge and start a challenge.</x:v>
      </x:c>
      <x:c r="E29" s="2"/>
      <x:c r="F29" s="2"/>
      <x:c r="G29" s="2"/>
      <x:c r="H29" s="2"/>
      <x:c r="I29" s="2"/>
      <x:c r="J29" s="2"/>
      <x:c r="K29" s="2"/>
      <x:c r="L29" s="2"/>
    </x:row>
    <x:row r="30" ht="37" customHeight="1">
      <x:c r="A30" s="17" t="str">
        <x:v>T7 Lineup and simulation</x:v>
      </x:c>
      <x:c r="B30" s="17"/>
      <x:c r="C30" s="17"/>
      <x:c r="D30" s="2" t="str">
        <x:v>Select five players, place them on the court and run the simulation.</x:v>
      </x:c>
      <x:c r="E30" s="2"/>
      <x:c r="F30" s="2"/>
      <x:c r="G30" s="2"/>
      <x:c r="H30" s="2"/>
      <x:c r="I30" s="2"/>
      <x:c r="J30" s="2"/>
      <x:c r="K30" s="2"/>
      <x:c r="L30" s="2"/>
    </x:row>
    <x:row r="31" ht="37" customHeight="1">
      <x:c r="A31" s="17" t="str">
        <x:v>T8 Quiz Ball</x:v>
      </x:c>
      <x:c r="B31" s="17"/>
      <x:c r="C31" s="17"/>
      <x:c r="D31" s="2" t="str">
        <x:v>Start a quiz, choose difficulty and answer the first question correctly.</x:v>
      </x:c>
      <x:c r="E31" s="2"/>
      <x:c r="F31" s="2"/>
      <x:c r="G31" s="2"/>
      <x:c r="H31" s="2"/>
      <x:c r="I31" s="2"/>
      <x:c r="J31" s="2"/>
      <x:c r="K31" s="2"/>
      <x:c r="L31" s="2"/>
    </x:row>
    <x:row r="32" ht="37" customHeight="1">
      <x:c r="A32" s="17" t="str">
        <x:v>T9 Glossary</x:v>
      </x:c>
      <x:c r="B32" s="17"/>
      <x:c r="C32" s="17"/>
      <x:c r="D32" s="2" t="str">
        <x:v>Open the glossary and find a definition of a chosen term.</x:v>
      </x:c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4" t="str">
        <x:v>Participants completed the tasks independently, as confirmed by the study owner.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4" t="str">
        <x:v>Study dates, completion times, retries and device allocation were not supplied.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4" t="str">
        <x:v>T1–T9 follow the nine task definitions shown above.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4" t="str">
        <x:v>Participant task outcomes, ten respondents and nine tasks.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4" t="str">
        <x:v>Study task definitions.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4" t="str">
        <x:v>Assistance information: study-owner confirmation in the accompanying conversation.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dataValidations count="1">
    <x:dataValidation type="whole" operator="between" sqref="B6:J15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58" hidden="0" customWidth="1"/>
    <x:col min="3" max="3" width="64" hidden="0" customWidth="1"/>
    <x:col min="4" max="4" width="61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Participant comments in English</x:v>
      </x:c>
      <x:c r="B2" s="2"/>
      <x:c r="C2" s="2"/>
      <x:c r="D2" s="2"/>
    </x:row>
    <x:row r="3" ht="23" customHeight="1">
      <x:c r="A3" s="4" t="str">
        <x:v>Participant responses. Identifiers User 1 to User 10 are preserved.</x:v>
      </x:c>
      <x:c r="B3" s="2"/>
      <x:c r="C3" s="2"/>
      <x:c r="D3" s="2"/>
    </x:row>
    <x:row r="4" ht="23" customHeight="1">
      <x:c r="A4" s="2"/>
      <x:c r="B4" s="2"/>
      <x:c r="C4" s="2"/>
      <x:c r="D4" s="2"/>
    </x:row>
    <x:row r="5" ht="32" customHeight="1">
      <x:c r="A5" s="8" t="str">
        <x:v>Participant</x:v>
      </x:c>
      <x:c r="B5" s="8" t="str">
        <x:v>What they liked most</x:v>
      </x:c>
      <x:c r="C5" s="8" t="str">
        <x:v>Difficulties and changes</x:v>
      </x:c>
      <x:c r="D5" s="8" t="str">
        <x:v>Suggestions</x:v>
      </x:c>
    </x:row>
    <x:row r="6" ht="35" customHeight="1">
      <x:c r="A6" s="19" t="str">
        <x:v>User 1</x:v>
      </x:c>
      <x:c r="B6" s="19" t="str">
        <x:v>The 3D court and the quiz.</x:v>
      </x:c>
      <x:c r="C6" s="19" t="str">
        <x:v>AI Search was slow and sometimes froze.</x:v>
      </x:c>
      <x:c r="D6" s="19" t="str">
        <x:v>A better AI version that produces faster and more accurate results.</x:v>
      </x:c>
    </x:row>
    <x:row r="7" ht="80" customHeight="1">
      <x:c r="A7" s="20" t="str">
        <x:v>User 2</x:v>
      </x:c>
      <x:c r="B7" s="20" t="str">
        <x:v>It is quite interesting, especially for basketball fans. It contains a lot of game information and offers AI Search.</x:v>
      </x:c>
      <x:c r="C7" s="20" t="str">
        <x:v>I would make it more user-friendly because it currently feels rather cold. I would also keep the 3D court at a fixed angle instead of allowing rotation, making team orientation clearer. I would group games into categories such as Regular Season and Final Four.</x:v>
      </x:c>
      <x:c r="D7" s="20" t="str">
        <x:v>AI Search needs some improvement. Selecting a game should show its final score and detailed player statistics.</x:v>
      </x:c>
    </x:row>
    <x:row r="8" ht="50" customHeight="1">
      <x:c r="A8" s="19" t="str">
        <x:v>User 3</x:v>
      </x:c>
      <x:c r="B8" s="19" t="str">
        <x:v>It is very comprehensive. I especially liked clicking a shot and watching the corresponding moment in the video.</x:v>
      </x:c>
      <x:c r="C8" s="19" t="str">
        <x:v>More detailed steps would help me locate and find the different segments.</x:v>
      </x:c>
      <x:c r="D8" s="19" t="str">
        <x:v>More game modes, perhaps Career Path or Coach Challenge, and features such as Fantasy or Season Simulation.</x:v>
      </x:c>
    </x:row>
    <x:row r="9" ht="50" customHeight="1">
      <x:c r="A9" s="20" t="str">
        <x:v>User 4</x:v>
      </x:c>
      <x:c r="B9" s="20" t="str">
        <x:v>Access to a lot of information about either one specific game or several games at once.</x:v>
      </x:c>
      <x:c r="C9" s="20" t="str">
        <x:v>Some buttons could be more visible and accessible, such as the button for returning to the quiz from within a game.</x:v>
      </x:c>
      <x:c r="D9" s="20" t="str">
        <x:v>Better AI Search query processing to produce more accurate and relevant results.</x:v>
      </x:c>
    </x:row>
    <x:row r="10" ht="50" customHeight="1">
      <x:c r="A10" s="19" t="str">
        <x:v>User 5</x:v>
      </x:c>
      <x:c r="B10" s="19" t="str">
        <x:v>With one click I can view the information I want and jump to the corresponding video moment. I also really liked Quiz Ball.</x:v>
      </x:c>
      <x:c r="C10" s="19" t="str">
        <x:v>The 3D court was somewhat difficult to use and navigate.</x:v>
      </x:c>
      <x:c r="D10" s="19" t="str">
        <x:v>More choice of AI model and a smoother progression of Quiz Ball difficulty.</x:v>
      </x:c>
    </x:row>
    <x:row r="11" ht="65" customHeight="1">
      <x:c r="A11" s="20" t="str">
        <x:v>User 6</x:v>
      </x:c>
      <x:c r="B11" s="20" t="str">
        <x:v>The Coach Simulator, where you create your own five-player lineup, was very interactive and really put you in the role of a coach.</x:v>
      </x:c>
      <x:c r="C11" s="20" t="str">
        <x:v>The 3D court, especially on mobile. As the camera rotated, I lost my orientation and found it difficult to tap shots precisely. I would prefer a more stable view.</x:v>
      </x:c>
      <x:c r="D11" s="20" t="str">
        <x:v>Better AI that understands more complex questions, tolerates spelling mistakes in names and provides more explanations.</x:v>
      </x:c>
    </x:row>
    <x:row r="12" ht="60" customHeight="1">
      <x:c r="A12" s="19" t="str">
        <x:v>User 7</x:v>
      </x:c>
      <x:c r="B12" s="19" t="str">
        <x:v>The variety of options, including AI Search, Browse Statistics, Coach Challenge, Video Analysis and Quiz Ball, even for people with moderate interest or knowledge.</x:v>
      </x:c>
      <x:c r="C12" s="19" t="str">
        <x:v>Clearer sections and tools, or help with instructions and examples in each section.</x:v>
      </x:c>
      <x:c r="D12" s="19" t="str">
        <x:v>Add strategies, plays and possible game problems to Coach Simulation for a more realistic simulation.</x:v>
      </x:c>
    </x:row>
    <x:row r="13" ht="55" customHeight="1">
      <x:c r="A13" s="20" t="str">
        <x:v>User 8</x:v>
      </x:c>
      <x:c r="B13" s="20" t="str">
        <x:v>The overall experience was amazing and fun. It has great potential and could even be promoted to professional teams as a sports analysis tool.</x:v>
      </x:c>
      <x:c r="C13" s="20" t="str">
        <x:v>Quiz difficulty levels did not always reflect the actual demands of the questions.</x:v>
      </x:c>
      <x:c r="D13" s="20" t="str">
        <x:v>Add a Round category to the game search filters.</x:v>
      </x:c>
    </x:row>
    <x:row r="14" ht="60" customHeight="1">
      <x:c r="A14" s="19" t="str">
        <x:v>User 9</x:v>
      </x:c>
      <x:c r="B14" s="19" t="str">
        <x:v>Coach Challenge and Quiz Ball make the application more interactive and maintain interest.</x:v>
      </x:c>
      <x:c r="C14" s="19" t="str">
        <x:v>Change the color of selected quarter buttons, for example to green, so the active quarter is clear.</x:v>
      </x:c>
      <x:c r="D14" s="19" t="str">
        <x:v>Remember the latest season and game in Video Analysis, and allow selection of a specific game in Coach Challenge.</x:v>
      </x:c>
    </x:row>
    <x:row r="15" ht="50" customHeight="1">
      <x:c r="A15" s="20" t="str">
        <x:v>User 10</x:v>
      </x:c>
      <x:c r="B15" s="20" t="str">
        <x:v>The working synchronization of video with Play-by-Play and the shot court, linking the on-screen play to statistics and court locations.</x:v>
      </x:c>
      <x:c r="C15" s="20" t="str">
        <x:v>Balance the difficulty of Quiz Ball questions better.</x:v>
      </x:c>
      <x:c r="D15" s="20" t="str">
        <x:v>Add games from other competitions such as EuroCup, older seasons and more videos.</x:v>
      </x:c>
    </x:row>
    <x:row r="16" ht="23" customHeight="1">
      <x:c r="A16" s="2"/>
      <x:c r="B16" s="2"/>
      <x:c r="C16" s="2"/>
      <x:c r="D16" s="2"/>
    </x:row>
    <x:row r="17" ht="23" customHeight="1">
      <x:c r="A17" s="2"/>
      <x:c r="B17" s="2"/>
      <x:c r="C17" s="2"/>
      <x:c r="D17" s="2"/>
    </x:row>
    <x:row r="18" ht="23" customHeight="1">
      <x:c r="A18" s="4" t="str">
        <x:v>Participant comments and the supplied thematic analysis.</x:v>
      </x:c>
      <x:c r="B18" s="2"/>
      <x:c r="C18" s="2"/>
      <x:c r="D18" s="2"/>
    </x:row>
    <x:row r="19" ht="23" customHeight="1">
      <x:c r="A19" s="2"/>
      <x:c r="B19" s="2"/>
      <x:c r="C19" s="2"/>
      <x:c r="D19" s="2"/>
    </x:row>
    <x:row r="20" ht="23" customHeight="1">
      <x:c r="A20" s="2"/>
      <x:c r="B20" s="2"/>
      <x:c r="C20" s="2"/>
      <x:c r="D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66" hidden="0" customWidth="1"/>
    <x:col min="3" max="3" width="13" hidden="0" customWidth="1"/>
    <x:col min="4" max="4" width="13" hidden="0" customWidth="1"/>
  </x:cols>
  <x:sheetData>
    <x:row r="1" ht="23" customHeight="1">
      <x:c r="A1" s="2"/>
      <x:c r="B1" s="2"/>
      <x:c r="C1" s="2"/>
      <x:c r="D1" s="2"/>
    </x:row>
    <x:row r="2" ht="23" customHeight="1">
      <x:c r="A2" s="3" t="str">
        <x:v>Reported qualitative themes</x:v>
      </x:c>
      <x:c r="B2" s="2"/>
      <x:c r="C2" s="2"/>
      <x:c r="D2" s="2"/>
    </x:row>
    <x:row r="3" ht="23" customHeight="1">
      <x:c r="A3" s="4" t="str">
        <x:v>Theme counts are transcribed from the supplied analysis. Multiple themes may apply to one participant.</x:v>
      </x:c>
      <x:c r="B3" s="2"/>
      <x:c r="C3" s="2"/>
      <x:c r="D3" s="2"/>
    </x:row>
    <x:row r="4" ht="23" customHeight="1">
      <x:c r="A4" s="2"/>
      <x:c r="B4" s="2"/>
      <x:c r="C4" s="2"/>
      <x:c r="D4" s="2"/>
    </x:row>
    <x:row r="5" ht="32" customHeight="1">
      <x:c r="A5" s="8" t="str">
        <x:v>Category</x:v>
      </x:c>
      <x:c r="B5" s="8" t="str">
        <x:v>Theme</x:v>
      </x:c>
      <x:c r="C5" s="8" t="str">
        <x:v>Users</x:v>
      </x:c>
      <x:c r="D5" s="8" t="str">
        <x:v>Share of 10</x:v>
      </x:c>
    </x:row>
    <x:row r="6" ht="38" customHeight="1">
      <x:c r="A6" s="18" t="str">
        <x:v>Strength</x:v>
      </x:c>
      <x:c r="B6" s="18" t="str">
        <x:v>Interactive games including Coach Simulator and Quiz Ball</x:v>
      </x:c>
      <x:c r="C6" s="18" t="n">
        <x:v>5</x:v>
      </x:c>
      <x:c r="D6" s="21" t="n">
        <x:f>C6/10</x:f>
        <x:v>0.5</x:v>
      </x:c>
    </x:row>
    <x:row r="7" ht="38" customHeight="1">
      <x:c r="A7" s="17" t="str">
        <x:v>Strength</x:v>
      </x:c>
      <x:c r="B7" s="17" t="str">
        <x:v>Information, statistics and variety of tools</x:v>
      </x:c>
      <x:c r="C7" s="17" t="n">
        <x:v>5</x:v>
      </x:c>
      <x:c r="D7" s="22" t="n">
        <x:f>C7/10</x:f>
        <x:v>0.5</x:v>
      </x:c>
    </x:row>
    <x:row r="8" ht="38" customHeight="1">
      <x:c r="A8" s="18" t="str">
        <x:v>Strength</x:v>
      </x:c>
      <x:c r="B8" s="18" t="str">
        <x:v>Video synchronization with Play-by-Play and the shot court</x:v>
      </x:c>
      <x:c r="C8" s="18" t="n">
        <x:v>4</x:v>
      </x:c>
      <x:c r="D8" s="21" t="n">
        <x:f>C8/10</x:f>
        <x:v>0.4</x:v>
      </x:c>
    </x:row>
    <x:row r="9" ht="38" customHeight="1">
      <x:c r="A9" s="17" t="str">
        <x:v>Strength</x:v>
      </x:c>
      <x:c r="B9" s="17" t="str">
        <x:v>3D court representation and AI Search</x:v>
      </x:c>
      <x:c r="C9" s="17" t="n">
        <x:v>2</x:v>
      </x:c>
      <x:c r="D9" s="22" t="n">
        <x:f>C9/10</x:f>
        <x:v>0.2</x:v>
      </x:c>
    </x:row>
    <x:row r="10" ht="38" customHeight="1">
      <x:c r="A10" s="18" t="str">
        <x:v>Difficulty</x:v>
      </x:c>
      <x:c r="B10" s="18" t="str">
        <x:v>Interface, button visibility and navigation instructions</x:v>
      </x:c>
      <x:c r="C10" s="18" t="n">
        <x:v>5</x:v>
      </x:c>
      <x:c r="D10" s="21" t="n">
        <x:f>C10/10</x:f>
        <x:v>0.5</x:v>
      </x:c>
    </x:row>
    <x:row r="11" ht="38" customHeight="1">
      <x:c r="A11" s="17" t="str">
        <x:v>Difficulty</x:v>
      </x:c>
      <x:c r="B11" s="17" t="str">
        <x:v>3D court navigation and camera rotation</x:v>
      </x:c>
      <x:c r="C11" s="17" t="n">
        <x:v>3</x:v>
      </x:c>
      <x:c r="D11" s="22" t="n">
        <x:f>C11/10</x:f>
        <x:v>0.3</x:v>
      </x:c>
    </x:row>
    <x:row r="12" ht="38" customHeight="1">
      <x:c r="A12" s="18" t="str">
        <x:v>Difficulty</x:v>
      </x:c>
      <x:c r="B12" s="18" t="str">
        <x:v>Quiz Ball difficulty progression</x:v>
      </x:c>
      <x:c r="C12" s="18" t="n">
        <x:v>3</x:v>
      </x:c>
      <x:c r="D12" s="21" t="n">
        <x:f>C12/10</x:f>
        <x:v>0.3</x:v>
      </x:c>
    </x:row>
    <x:row r="13" ht="38" customHeight="1">
      <x:c r="A13" s="17" t="str">
        <x:v>Difficulty</x:v>
      </x:c>
      <x:c r="B13" s="17" t="str">
        <x:v>AI Search speed and freezing</x:v>
      </x:c>
      <x:c r="C13" s="17" t="n">
        <x:v>1</x:v>
      </x:c>
      <x:c r="D13" s="22" t="n">
        <x:f>C13/10</x:f>
        <x:v>0.1</x:v>
      </x:c>
    </x:row>
    <x:row r="14" ht="38" customHeight="1">
      <x:c r="A14" s="18" t="str">
        <x:v>Suggestion</x:v>
      </x:c>
      <x:c r="B14" s="18" t="str">
        <x:v>Improve AI speed, complex queries, spelling tolerance and model choice</x:v>
      </x:c>
      <x:c r="C14" s="18" t="n">
        <x:v>5</x:v>
      </x:c>
      <x:c r="D14" s="21" t="n">
        <x:f>C14/10</x:f>
        <x:v>0.5</x:v>
      </x:c>
    </x:row>
    <x:row r="15" ht="38" customHeight="1">
      <x:c r="A15" s="17" t="str">
        <x:v>Suggestion</x:v>
      </x:c>
      <x:c r="B15" s="17" t="str">
        <x:v>More games, filters, box scores and competitions</x:v>
      </x:c>
      <x:c r="C15" s="17" t="n">
        <x:v>3</x:v>
      </x:c>
      <x:c r="D15" s="22" t="n">
        <x:f>C15/10</x:f>
        <x:v>0.3</x:v>
      </x:c>
    </x:row>
    <x:row r="16" ht="38" customHeight="1">
      <x:c r="A16" s="18" t="str">
        <x:v>Suggestion</x:v>
      </x:c>
      <x:c r="B16" s="18" t="str">
        <x:v>New game modes and richer coaching simulation</x:v>
      </x:c>
      <x:c r="C16" s="18" t="n">
        <x:v>3</x:v>
      </x:c>
      <x:c r="D16" s="21" t="n">
        <x:f>C16/10</x:f>
        <x:v>0.3</x:v>
      </x:c>
    </x:row>
    <x:row r="17" ht="38" customHeight="1">
      <x:c r="A17" s="17" t="str">
        <x:v>Suggestion</x:v>
      </x:c>
      <x:c r="B17" s="17" t="str">
        <x:v>Remember the Video Analysis selection</x:v>
      </x:c>
      <x:c r="C17" s="17" t="n">
        <x:v>1</x:v>
      </x:c>
      <x:c r="D17" s="22" t="n">
        <x:f>C17/10</x:f>
        <x:v>0.1</x:v>
      </x:c>
    </x:row>
    <x:row r="18" ht="23" customHeight="1">
      <x:c r="A18" s="2"/>
      <x:c r="B18" s="2"/>
      <x:c r="C18" s="2"/>
      <x:c r="D18" s="2"/>
    </x:row>
    <x:row r="19" ht="23" customHeight="1">
      <x:c r="A19" s="4" t="str">
        <x:v>Counts retain the source coding. A participant-to-theme coding matrix was not supplied.</x:v>
      </x:c>
      <x:c r="B19" s="2"/>
      <x:c r="C19" s="2"/>
      <x:c r="D19" s="2"/>
    </x:row>
    <x:row r="20" ht="23" customHeight="1">
      <x:c r="A20" s="4" t="str">
        <x:v>Categories overlap. Theme percentages should not be added to form a total.</x:v>
      </x:c>
      <x:c r="B20" s="2"/>
      <x:c r="C20" s="2"/>
      <x:c r="D20" s="2"/>
    </x:row>
    <x:row r="21" ht="23" customHeight="1">
      <x:c r="A21" s="2"/>
      <x:c r="B21" s="2"/>
      <x:c r="C21" s="2"/>
      <x:c r="D21" s="2"/>
    </x:row>
    <x:row r="22" ht="23" customHeight="1">
      <x:c r="A22" s="4" t="str">
        <x:v>Participant comments and the supplied thematic analysis.</x:v>
      </x:c>
      <x:c r="B22" s="2"/>
      <x:c r="C22" s="2"/>
      <x:c r="D22" s="2"/>
    </x:row>
    <x:row r="23" ht="23" customHeight="1">
      <x:c r="A23" s="2"/>
      <x:c r="B23" s="2"/>
      <x:c r="C23" s="2"/>
      <x:c r="D23" s="2"/>
    </x:row>
  </x:sheetData>
  <x:pageMargins left="0.7" right="0.7" top="0.75" bottom="0.75" header="0.3" footer="0.3"/>
</x:worksheet>
</file>